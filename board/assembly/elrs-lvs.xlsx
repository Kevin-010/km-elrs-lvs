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rs-lv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<sst xmlns="http://schemas.openxmlformats.org/spreadsheetml/2006/main" count="244" uniqueCount="202">
  <si>
    <t xml:space="preserve">Reference</t>
  </si>
  <si>
    <t xml:space="preserve">Value</t>
  </si>
  <si>
    <t xml:space="preserve">Footprint</t>
  </si>
  <si>
    <t xml:space="preserve">Qty</t>
  </si>
  <si>
    <t xml:space="preserve">Part</t>
  </si>
  <si>
    <t xml:space="preserve">Manufacturer</t>
  </si>
  <si>
    <t xml:space="preserve">DNP</t>
  </si>
  <si>
    <t xml:space="preserve">Digikey</t>
  </si>
  <si>
    <t xml:space="preserve">LCSC</t>
  </si>
  <si>
    <t xml:space="preserve">Mouser</t>
  </si>
  <si>
    <t xml:space="preserve">Pack Qty</t>
  </si>
  <si>
    <t xml:space="preserve">Packs for 20</t>
  </si>
  <si>
    <t xml:space="preserve">Pack Cost</t>
  </si>
  <si>
    <t xml:space="preserve">Unit Cost</t>
  </si>
  <si>
    <t xml:space="preserve">Ordered Mouser SO 269743228</t>
  </si>
  <si>
    <t xml:space="preserve">Ordered Digikey</t>
  </si>
  <si>
    <t xml:space="preserve">C1</t>
  </si>
  <si>
    <t xml:space="preserve">1u</t>
  </si>
  <si>
    <t xml:space="preserve">Capacitor_SMD:C_0402_1005Metric</t>
  </si>
  <si>
    <t xml:space="preserve">CL05A105MQ5NNNC</t>
  </si>
  <si>
    <t xml:space="preserve">Samsung</t>
  </si>
  <si>
    <t xml:space="preserve">https://www.digikey.com/en/products/detail/samsung-electro-mechanics/CL05A105MQ5NNNC/3886893</t>
  </si>
  <si>
    <t xml:space="preserve">C2</t>
  </si>
  <si>
    <t xml:space="preserve">10u</t>
  </si>
  <si>
    <t xml:space="preserve">Capacitor_SMD:C_0805_2012Metric</t>
  </si>
  <si>
    <t xml:space="preserve">GRJ21BR61E106KE01K</t>
  </si>
  <si>
    <t xml:space="preserve">Murata</t>
  </si>
  <si>
    <t xml:space="preserve">https://www.digikey.com/en/products/detail/murata-electronics/GRJ21BR61E106KE01K/10705983</t>
  </si>
  <si>
    <t xml:space="preserve">C3,C10,C11,C12,C14,C15,C16,C17,C18,C19,C20,C21</t>
  </si>
  <si>
    <t xml:space="preserve">100n</t>
  </si>
  <si>
    <t xml:space="preserve">CL05A104KA5NNNC</t>
  </si>
  <si>
    <t xml:space="preserve">https://www.digikey.com/en/products/detail/samsung-electro-mechanics/CL05A104KA5NNNC/3886701</t>
  </si>
  <si>
    <t xml:space="preserve">C1525</t>
  </si>
  <si>
    <t xml:space="preserve">C4</t>
  </si>
  <si>
    <t xml:space="preserve">CL05A106MQ5NUNC</t>
  </si>
  <si>
    <t xml:space="preserve">https://www.digikey.com/en/products/detail/samsung-electro-mechanics/CL05A106MQ5NUNC/3887109</t>
  </si>
  <si>
    <t xml:space="preserve">C15525</t>
  </si>
  <si>
    <t xml:space="preserve">C5</t>
  </si>
  <si>
    <t xml:space="preserve">C6</t>
  </si>
  <si>
    <t xml:space="preserve">22u</t>
  </si>
  <si>
    <t xml:space="preserve">C2012X7S1A226M125AC</t>
  </si>
  <si>
    <t xml:space="preserve">TDK</t>
  </si>
  <si>
    <t xml:space="preserve">https://www.digikey.com/en/products/detail/tdk-corporation/C2012X7S1A226M125AC/3951796</t>
  </si>
  <si>
    <t xml:space="preserve">C7,C8</t>
  </si>
  <si>
    <t xml:space="preserve">10n</t>
  </si>
  <si>
    <t xml:space="preserve">CL05B103KB5NNNC</t>
  </si>
  <si>
    <t xml:space="preserve">https://www.digikey.com/en/products/detail/samsung-electro-mechanics/CL05B103KB5NNNC/3886686</t>
  </si>
  <si>
    <t xml:space="preserve">C15195</t>
  </si>
  <si>
    <t xml:space="preserve">C9</t>
  </si>
  <si>
    <t xml:space="preserve">1n</t>
  </si>
  <si>
    <t xml:space="preserve">KGM05AR71H102KN</t>
  </si>
  <si>
    <t xml:space="preserve">Kyocera AVX</t>
  </si>
  <si>
    <t xml:space="preserve">https://www.digikey.com/en/products/detail/kyocera-avx/KGM05AR71H102KN/3661149</t>
  </si>
  <si>
    <t xml:space="preserve">C1523</t>
  </si>
  <si>
    <t xml:space="preserve">C13</t>
  </si>
  <si>
    <t xml:space="preserve">470n, 10V</t>
  </si>
  <si>
    <t xml:space="preserve">CL05A474KP5NNNC</t>
  </si>
  <si>
    <t xml:space="preserve">https://www.digikey.com/en/products/detail/samsung-electro-mechanics/CL05A474KP5NNNC/3886831</t>
  </si>
  <si>
    <t xml:space="preserve">C47339</t>
  </si>
  <si>
    <t xml:space="preserve">C22,C23</t>
  </si>
  <si>
    <t xml:space="preserve">elrs-lvs:R_0201_0603_NP</t>
  </si>
  <si>
    <t xml:space="preserve">D1</t>
  </si>
  <si>
    <t xml:space="preserve">17v</t>
  </si>
  <si>
    <t xml:space="preserve">elrs-lvs:US2H_TOS</t>
  </si>
  <si>
    <t xml:space="preserve">CUHZ16V,H3F</t>
  </si>
  <si>
    <t xml:space="preserve">Toshiba</t>
  </si>
  <si>
    <t xml:space="preserve">https://www.digikey.com/en/products/detail/toshiba-semiconductor-and-storage/CUHZ16V-H3F/15857862</t>
  </si>
  <si>
    <t xml:space="preserve">D2</t>
  </si>
  <si>
    <t xml:space="preserve">3.3v</t>
  </si>
  <si>
    <t xml:space="preserve">Diode_SMD:D_SOD-323</t>
  </si>
  <si>
    <t xml:space="preserve">PJGBLC03C-AU_R1_000A1</t>
  </si>
  <si>
    <t xml:space="preserve">Panjit</t>
  </si>
  <si>
    <t xml:space="preserve">https://www.digikey.com/en/products/detail/panjit-international-inc/PJGBLC03C-AU-R1-000A1/15797697</t>
  </si>
  <si>
    <t xml:space="preserve">D3</t>
  </si>
  <si>
    <t xml:space="preserve">Power</t>
  </si>
  <si>
    <t xml:space="preserve">LED_SMD:LED_0603_1608Metric</t>
  </si>
  <si>
    <t xml:space="preserve">LY Q976.01-Q1R2-36-1</t>
  </si>
  <si>
    <t xml:space="preserve">osram</t>
  </si>
  <si>
    <t xml:space="preserve">https://www.digikey.com/en/products/detail/ams-osram-usa-inc/LY-Q976-01-Q1R2-36-1/21556496</t>
  </si>
  <si>
    <t xml:space="preserve">D4</t>
  </si>
  <si>
    <t xml:space="preserve">WS2812B</t>
  </si>
  <si>
    <t xml:space="preserve">Anyleaf_Shared:LED-WS2812B</t>
  </si>
  <si>
    <t xml:space="preserve">Adafruit</t>
  </si>
  <si>
    <t xml:space="preserve">1528-4684-ND</t>
  </si>
  <si>
    <t xml:space="preserve">C965555</t>
  </si>
  <si>
    <t xml:space="preserve">F1</t>
  </si>
  <si>
    <t xml:space="preserve">500ma</t>
  </si>
  <si>
    <t xml:space="preserve">Capacitor_SMD:C_1210_3225Metric</t>
  </si>
  <si>
    <t xml:space="preserve">SMD1210B075TF/24</t>
  </si>
  <si>
    <t xml:space="preserve">Yageo</t>
  </si>
  <si>
    <t xml:space="preserve">https://www.digikey.com/en/products/detail/yageo/SMD1210B075TF-24/15212934</t>
  </si>
  <si>
    <t xml:space="preserve">J1,J2,J3,J4,J5,J6,J7,J8</t>
  </si>
  <si>
    <t xml:space="preserve">PWM</t>
  </si>
  <si>
    <t xml:space="preserve">Connector_PinHeader_2.54mm:PinHeader_1x03_P2.54mm_Vertical</t>
  </si>
  <si>
    <t xml:space="preserve">TSW-104-25-G-T-RA</t>
  </si>
  <si>
    <t xml:space="preserve">Samtec</t>
  </si>
  <si>
    <t xml:space="preserve">https://www.digikey.com/en/products/detail/samtec-inc/TSW-104-25-G-T-RA/7864909</t>
  </si>
  <si>
    <t xml:space="preserve">J10</t>
  </si>
  <si>
    <t xml:space="preserve">CF/Prog</t>
  </si>
  <si>
    <t xml:space="preserve">Connector_JST:JST_GH_SM04B-GHS-TB_1x04-1MP_P1.25mm_Horizontal</t>
  </si>
  <si>
    <t xml:space="preserve">SM04B-GHS-TB</t>
  </si>
  <si>
    <t xml:space="preserve">JST</t>
  </si>
  <si>
    <t xml:space="preserve">https://www.digikey.com/en/products/detail/jst-sales-america-inc/SM04B-GHS-TB/807788</t>
  </si>
  <si>
    <t xml:space="preserve">C189895</t>
  </si>
  <si>
    <t xml:space="preserve">J11</t>
  </si>
  <si>
    <t xml:space="preserve">Holes</t>
  </si>
  <si>
    <t xml:space="preserve">J12</t>
  </si>
  <si>
    <t xml:space="preserve">Balance</t>
  </si>
  <si>
    <t xml:space="preserve">Connector_JST:JST_XH_S7B-XH-A-1_1x07_P2.50mm_Horizontal</t>
  </si>
  <si>
    <t xml:space="preserve">S7B-XH-A-1</t>
  </si>
  <si>
    <t xml:space="preserve">https://www.digikey.com/en/products/detail/jst-sales-america-inc/S7B-XH-A-1/9961926</t>
  </si>
  <si>
    <t xml:space="preserve">J13</t>
  </si>
  <si>
    <t xml:space="preserve">U.FL</t>
  </si>
  <si>
    <t xml:space="preserve">elrs-lvs:U.FL_Hirose_U.FL-R-SMT-1_Vertical_Molex_47948-0001</t>
  </si>
  <si>
    <t xml:space="preserve">U.FL-R-SMT-1(80)</t>
  </si>
  <si>
    <t xml:space="preserve">Hirose Electric</t>
  </si>
  <si>
    <t xml:space="preserve">C88374</t>
  </si>
  <si>
    <t xml:space="preserve">L2</t>
  </si>
  <si>
    <t xml:space="preserve">JP</t>
  </si>
  <si>
    <t xml:space="preserve">elrs-lvs:R_0201_0603_JP</t>
  </si>
  <si>
    <t xml:space="preserve">R1,R13</t>
  </si>
  <si>
    <t xml:space="preserve">10k</t>
  </si>
  <si>
    <t xml:space="preserve">Resistor_SMD:R_0402_1005Metric</t>
  </si>
  <si>
    <t xml:space="preserve">AC0402JR-0710KL</t>
  </si>
  <si>
    <t xml:space="preserve">https://www.digikey.com/en/products/detail/yageo/AC0402JR-0710KL/5895571</t>
  </si>
  <si>
    <t xml:space="preserve">R2</t>
  </si>
  <si>
    <t xml:space="preserve">40.2k</t>
  </si>
  <si>
    <t xml:space="preserve">AC0402FR-0740K2L</t>
  </si>
  <si>
    <t xml:space="preserve">https://www.digikey.com/en/products/detail/yageo/AC0402FR-0740K2L/5895346</t>
  </si>
  <si>
    <t xml:space="preserve">R3,R4,R5,R6,R7,R8,R9,R11,R12</t>
  </si>
  <si>
    <t xml:space="preserve">R10,R31,R32,R33,R34,R35,R36,R37,R38</t>
  </si>
  <si>
    <t xml:space="preserve">270k</t>
  </si>
  <si>
    <t xml:space="preserve">RC0402FR-07270KL</t>
  </si>
  <si>
    <t xml:space="preserve">https://www.digikey.com/en/products/detail/yageo/RC0402FR-07270KL/726575</t>
  </si>
  <si>
    <t xml:space="preserve">R14</t>
  </si>
  <si>
    <t xml:space="preserve">AC0402JR-07470RL</t>
  </si>
  <si>
    <t xml:space="preserve">https://www.digikey.com/en/products/detail/yageo/AC0402JR-07470RL/5895678</t>
  </si>
  <si>
    <t xml:space="preserve">R15,R16,R17,R18,R19,R20,R21,R22,R47,R48</t>
  </si>
  <si>
    <t xml:space="preserve">AC0402JR-07100RL</t>
  </si>
  <si>
    <t xml:space="preserve">https://www.digikey.com/en/products/detail/yageo/AC0402JR-07100RL/5895570</t>
  </si>
  <si>
    <t xml:space="preserve">R23,R24,R25,R26,R27,R28,R29,R30</t>
  </si>
  <si>
    <t xml:space="preserve">470k</t>
  </si>
  <si>
    <t xml:space="preserve">RC0402DR-07470KL</t>
  </si>
  <si>
    <t xml:space="preserve">https://www.digikey.com/en/products/detail/yageo/RC0402DR-07470KL/5917402</t>
  </si>
  <si>
    <t xml:space="preserve">R39,R40,R41,R42,R43,R44,R45,R46</t>
  </si>
  <si>
    <t xml:space="preserve">47k</t>
  </si>
  <si>
    <t xml:space="preserve">RC0402FR-0747KL</t>
  </si>
  <si>
    <t xml:space="preserve">https://www.digikey.com/en/products/detail/yageo/RC0402FR-0747KL/726616</t>
  </si>
  <si>
    <t xml:space="preserve">SW1,SW2</t>
  </si>
  <si>
    <t xml:space="preserve">SW_SPST</t>
  </si>
  <si>
    <t xml:space="preserve">elrs-lvs:SO4_SW_1563-R66-8005_MIT</t>
  </si>
  <si>
    <t xml:space="preserve">R-668048</t>
  </si>
  <si>
    <t xml:space="preserve">Mitsumi</t>
  </si>
  <si>
    <t xml:space="preserve">https://www.digikey.com/en/products/detail/mitsumi-electric-company-ltd/R-668048/11591275</t>
  </si>
  <si>
    <t xml:space="preserve">TP2,TP3,TP4,TP5,TP6,TP7,TP8,TP9,TP10,TP11,TP12,TP13,TP14,TP15,TP16,TP18,TP19,TP20</t>
  </si>
  <si>
    <t xml:space="preserve">TP</t>
  </si>
  <si>
    <t xml:space="preserve">elrs-lvs:TestPoint_Pad_D0.25mm</t>
  </si>
  <si>
    <t xml:space="preserve">U3</t>
  </si>
  <si>
    <t xml:space="preserve">TPSM82901SISR</t>
  </si>
  <si>
    <t xml:space="preserve">elrs-lvs:uSIP11_SIS_TEX</t>
  </si>
  <si>
    <t xml:space="preserve">Texas Instruments</t>
  </si>
  <si>
    <t xml:space="preserve">https://www.digikey.com/en/products/detail/texas-instruments/TPSM82901SISR/17394938</t>
  </si>
  <si>
    <t xml:space="preserve">Y1</t>
  </si>
  <si>
    <t xml:space="preserve">52Mhz TCXO</t>
  </si>
  <si>
    <t xml:space="preserve">Crystal:Crystal_SMD_2016-4Pin_2.0x1.6mm</t>
  </si>
  <si>
    <t xml:space="preserve">ECS-TXO-20CSMV4-520-AN-TR</t>
  </si>
  <si>
    <t xml:space="preserve">ECS Inc.</t>
  </si>
  <si>
    <t xml:space="preserve">50-ECS-TXO-20CSMV4-520-AN-TRCT-ND</t>
  </si>
  <si>
    <t xml:space="preserve">U1</t>
  </si>
  <si>
    <t xml:space="preserve">ESP32-PICO-V3</t>
  </si>
  <si>
    <t xml:space="preserve">Package_DFN_QFN:QFN-48-1EP_7x7mm_P0.5mm_EP5.3x5.3mm</t>
  </si>
  <si>
    <t xml:space="preserve"> ESP32-PICO-V3 </t>
  </si>
  <si>
    <t xml:space="preserve">Espressif</t>
  </si>
  <si>
    <t xml:space="preserve"> 356-ESP32-PICO-V3 </t>
  </si>
  <si>
    <t xml:space="preserve">J9</t>
  </si>
  <si>
    <t xml:space="preserve">Little Tower</t>
  </si>
  <si>
    <t xml:space="preserve">elrs-lvs:Molex_47948-0001_U.FL_Hirose_U.FL-R-SMT-1_Vertical</t>
  </si>
  <si>
    <t xml:space="preserve">47948-0001</t>
  </si>
  <si>
    <t xml:space="preserve">Molex</t>
  </si>
  <si>
    <t xml:space="preserve"> 538-47948-0001 </t>
  </si>
  <si>
    <t xml:space="preserve">U2</t>
  </si>
  <si>
    <t xml:space="preserve">SX1281</t>
  </si>
  <si>
    <t xml:space="preserve">Package_DFN_QFN:QFN-24-1EP_4x4mm_P0.5mm_EP2.6x2.6mm</t>
  </si>
  <si>
    <t xml:space="preserve">SX1281IMLTRT</t>
  </si>
  <si>
    <t xml:space="preserve">Semtech</t>
  </si>
  <si>
    <t xml:space="preserve">SX1281IMLTRTTR-ND</t>
  </si>
  <si>
    <t xml:space="preserve">C125969</t>
  </si>
  <si>
    <t xml:space="preserve"> 947-SX1281IMLTRT </t>
  </si>
  <si>
    <t xml:space="preserve">U4</t>
  </si>
  <si>
    <t xml:space="preserve">2450FM07D0034T</t>
  </si>
  <si>
    <t xml:space="preserve">Anyleaf_Shared:2450FM07D0034</t>
  </si>
  <si>
    <t xml:space="preserve">Johanson</t>
  </si>
  <si>
    <t xml:space="preserve">712-1654-2-ND</t>
  </si>
  <si>
    <t xml:space="preserve">609-2450FM07D0034T</t>
  </si>
  <si>
    <t xml:space="preserve">L1</t>
  </si>
  <si>
    <t xml:space="preserve">15u</t>
  </si>
  <si>
    <t xml:space="preserve">Inductor_SMD:L_0805_2012Metric</t>
  </si>
  <si>
    <t xml:space="preserve">MLZ2012M150W</t>
  </si>
  <si>
    <t xml:space="preserve">C486333</t>
  </si>
  <si>
    <t xml:space="preserve">810-MLZ2012M150WT000</t>
  </si>
  <si>
    <t xml:space="preserve">PCB</t>
  </si>
  <si>
    <t xml:space="preserve">JLC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</si>
</sst>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P2" activeCellId="0" sqref="P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8.48"/>
    <col collapsed="false" customWidth="true" hidden="false" outlineLevel="0" max="2" min="2" style="0" width="16.3"/>
    <col collapsed="false" customWidth="true" hidden="false" outlineLevel="0" max="3" min="3" style="0" width="34.05"/>
    <col collapsed="false" customWidth="true" hidden="false" outlineLevel="0" max="4" min="4" style="0" width="4.48"/>
    <col collapsed="false" customWidth="true" hidden="false" outlineLevel="0" max="5" min="5" style="0" width="27.84"/>
    <col collapsed="false" customWidth="true" hidden="false" outlineLevel="0" max="6" min="6" style="0" width="16.59"/>
    <col collapsed="false" customWidth="true" hidden="false" outlineLevel="0" max="7" min="7" style="0" width="5.32"/>
    <col collapsed="false" customWidth="true" hidden="false" outlineLevel="0" max="8" min="8" style="0" width="17.09"/>
    <col collapsed="false" customWidth="true" hidden="false" outlineLevel="0" max="9" min="9" style="0" width="6.67"/>
    <col collapsed="false" customWidth="true" hidden="false" outlineLevel="0" max="10" min="10" style="0" width="9.0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1" t="s">
        <v>16</v>
      </c>
      <c r="B2" s="0" t="s">
        <v>17</v>
      </c>
      <c r="C2" s="0" t="s">
        <v>18</v>
      </c>
      <c r="D2" s="0" t="n">
        <v>1</v>
      </c>
      <c r="E2" s="0" t="s">
        <v>19</v>
      </c>
      <c r="F2" s="0" t="s">
        <v>20</v>
      </c>
      <c r="H2" s="0" t="s">
        <v>21</v>
      </c>
      <c r="K2" s="0" t="n">
        <v>1</v>
      </c>
      <c r="L2" s="0" t="n">
        <f aca="false">(D2/K2)*20</f>
        <v>20</v>
      </c>
      <c r="M2" s="0" t="n">
        <v>0.012</v>
      </c>
      <c r="N2" s="0" t="n">
        <f aca="false">M2/K2</f>
        <v>0.012</v>
      </c>
      <c r="P2" s="0" t="n">
        <v>100</v>
      </c>
    </row>
    <row r="3" customFormat="false" ht="12.8" hidden="false" customHeight="false" outlineLevel="0" collapsed="false">
      <c r="A3" s="1" t="s">
        <v>22</v>
      </c>
      <c r="B3" s="0" t="s">
        <v>23</v>
      </c>
      <c r="C3" s="0" t="s">
        <v>24</v>
      </c>
      <c r="D3" s="0" t="n">
        <v>1</v>
      </c>
      <c r="E3" s="0" t="s">
        <v>25</v>
      </c>
      <c r="F3" s="0" t="s">
        <v>26</v>
      </c>
      <c r="H3" s="0" t="s">
        <v>27</v>
      </c>
      <c r="K3" s="0" t="n">
        <v>1</v>
      </c>
      <c r="L3" s="0" t="n">
        <f aca="false">(D3/K3)*20</f>
        <v>20</v>
      </c>
      <c r="M3" s="0" t="n">
        <v>0.137</v>
      </c>
      <c r="N3" s="0" t="n">
        <f aca="false">M3/K3</f>
        <v>0.137</v>
      </c>
      <c r="P3" s="0" t="n">
        <v>50</v>
      </c>
    </row>
    <row r="4" customFormat="false" ht="23.85" hidden="false" customHeight="false" outlineLevel="0" collapsed="false">
      <c r="A4" s="1" t="s">
        <v>28</v>
      </c>
      <c r="B4" s="0" t="s">
        <v>29</v>
      </c>
      <c r="C4" s="0" t="s">
        <v>18</v>
      </c>
      <c r="D4" s="0" t="n">
        <v>12</v>
      </c>
      <c r="E4" s="0" t="s">
        <v>30</v>
      </c>
      <c r="F4" s="0" t="s">
        <v>20</v>
      </c>
      <c r="H4" s="0" t="s">
        <v>31</v>
      </c>
      <c r="I4" s="0" t="s">
        <v>32</v>
      </c>
      <c r="K4" s="0" t="n">
        <v>1</v>
      </c>
      <c r="L4" s="0" t="n">
        <f aca="false">(D4/K4)*20</f>
        <v>240</v>
      </c>
      <c r="M4" s="0" t="n">
        <v>0.0042</v>
      </c>
      <c r="N4" s="0" t="n">
        <f aca="false">M4/K4</f>
        <v>0.0042</v>
      </c>
      <c r="P4" s="0" t="n">
        <v>1000</v>
      </c>
    </row>
    <row r="5" customFormat="false" ht="12.8" hidden="false" customHeight="false" outlineLevel="0" collapsed="false">
      <c r="A5" s="1" t="s">
        <v>33</v>
      </c>
      <c r="B5" s="0" t="s">
        <v>23</v>
      </c>
      <c r="C5" s="0" t="s">
        <v>18</v>
      </c>
      <c r="D5" s="0" t="n">
        <v>1</v>
      </c>
      <c r="E5" s="0" t="s">
        <v>34</v>
      </c>
      <c r="F5" s="0" t="s">
        <v>20</v>
      </c>
      <c r="H5" s="0" t="s">
        <v>35</v>
      </c>
      <c r="I5" s="0" t="s">
        <v>36</v>
      </c>
      <c r="K5" s="0" t="n">
        <v>1</v>
      </c>
      <c r="L5" s="0" t="n">
        <f aca="false">(D5/K5)*20</f>
        <v>20</v>
      </c>
      <c r="M5" s="0" t="n">
        <v>0.108</v>
      </c>
      <c r="N5" s="0" t="n">
        <f aca="false">M5/K5</f>
        <v>0.108</v>
      </c>
      <c r="P5" s="0" t="n">
        <v>50</v>
      </c>
    </row>
    <row r="6" customFormat="false" ht="12.8" hidden="false" customHeight="false" outlineLevel="0" collapsed="false">
      <c r="A6" s="1" t="s">
        <v>37</v>
      </c>
      <c r="B6" s="0" t="s">
        <v>6</v>
      </c>
      <c r="C6" s="0" t="s">
        <v>18</v>
      </c>
      <c r="D6" s="0" t="n">
        <v>1</v>
      </c>
      <c r="E6" s="0" t="s">
        <v>6</v>
      </c>
      <c r="G6" s="0" t="s">
        <v>6</v>
      </c>
      <c r="K6" s="0" t="n">
        <v>1</v>
      </c>
      <c r="L6" s="0" t="n">
        <f aca="false">(D6/K6)*20</f>
        <v>20</v>
      </c>
      <c r="M6" s="0" t="n">
        <v>0</v>
      </c>
      <c r="N6" s="0" t="n">
        <f aca="false">M6/K6</f>
        <v>0</v>
      </c>
    </row>
    <row r="7" customFormat="false" ht="12.8" hidden="false" customHeight="false" outlineLevel="0" collapsed="false">
      <c r="A7" s="1" t="s">
        <v>38</v>
      </c>
      <c r="B7" s="0" t="s">
        <v>39</v>
      </c>
      <c r="C7" s="0" t="s">
        <v>24</v>
      </c>
      <c r="D7" s="0" t="n">
        <v>1</v>
      </c>
      <c r="E7" s="0" t="s">
        <v>40</v>
      </c>
      <c r="F7" s="0" t="s">
        <v>41</v>
      </c>
      <c r="H7" s="0" t="s">
        <v>42</v>
      </c>
      <c r="K7" s="0" t="n">
        <v>1</v>
      </c>
      <c r="L7" s="0" t="n">
        <f aca="false">(D7/K7)*20</f>
        <v>20</v>
      </c>
      <c r="M7" s="0" t="n">
        <v>0.416</v>
      </c>
      <c r="N7" s="0" t="n">
        <f aca="false">M7/K7</f>
        <v>0.416</v>
      </c>
      <c r="P7" s="0" t="n">
        <v>50</v>
      </c>
    </row>
    <row r="8" customFormat="false" ht="12.8" hidden="false" customHeight="false" outlineLevel="0" collapsed="false">
      <c r="A8" s="1" t="s">
        <v>43</v>
      </c>
      <c r="B8" s="0" t="s">
        <v>44</v>
      </c>
      <c r="C8" s="0" t="s">
        <v>18</v>
      </c>
      <c r="D8" s="0" t="n">
        <v>2</v>
      </c>
      <c r="E8" s="0" t="s">
        <v>45</v>
      </c>
      <c r="F8" s="0" t="s">
        <v>20</v>
      </c>
      <c r="H8" s="0" t="s">
        <v>46</v>
      </c>
      <c r="I8" s="0" t="s">
        <v>47</v>
      </c>
      <c r="K8" s="0" t="n">
        <v>1</v>
      </c>
      <c r="L8" s="0" t="n">
        <f aca="false">(D8/K8)*20</f>
        <v>40</v>
      </c>
      <c r="M8" s="0" t="n">
        <v>0.014</v>
      </c>
      <c r="N8" s="0" t="n">
        <f aca="false">M8/K8</f>
        <v>0.014</v>
      </c>
      <c r="P8" s="0" t="n">
        <v>100</v>
      </c>
    </row>
    <row r="9" customFormat="false" ht="12.8" hidden="false" customHeight="false" outlineLevel="0" collapsed="false">
      <c r="A9" s="1" t="s">
        <v>48</v>
      </c>
      <c r="B9" s="0" t="s">
        <v>49</v>
      </c>
      <c r="C9" s="0" t="s">
        <v>18</v>
      </c>
      <c r="D9" s="0" t="n">
        <v>1</v>
      </c>
      <c r="E9" s="0" t="s">
        <v>50</v>
      </c>
      <c r="F9" s="0" t="s">
        <v>51</v>
      </c>
      <c r="H9" s="0" t="s">
        <v>52</v>
      </c>
      <c r="I9" s="0" t="s">
        <v>53</v>
      </c>
      <c r="K9" s="0" t="n">
        <v>1</v>
      </c>
      <c r="L9" s="0" t="n">
        <f aca="false">(D9/K9)*20</f>
        <v>20</v>
      </c>
      <c r="M9" s="0" t="n">
        <v>0.01</v>
      </c>
      <c r="N9" s="0" t="n">
        <f aca="false">M9/K9</f>
        <v>0.01</v>
      </c>
      <c r="P9" s="0" t="n">
        <v>100</v>
      </c>
    </row>
    <row r="10" customFormat="false" ht="12.8" hidden="false" customHeight="false" outlineLevel="0" collapsed="false">
      <c r="A10" s="1" t="s">
        <v>54</v>
      </c>
      <c r="B10" s="0" t="s">
        <v>55</v>
      </c>
      <c r="C10" s="0" t="s">
        <v>18</v>
      </c>
      <c r="D10" s="0" t="n">
        <v>1</v>
      </c>
      <c r="E10" s="0" t="s">
        <v>56</v>
      </c>
      <c r="F10" s="0" t="s">
        <v>20</v>
      </c>
      <c r="H10" s="0" t="s">
        <v>57</v>
      </c>
      <c r="I10" s="0" t="s">
        <v>58</v>
      </c>
      <c r="K10" s="0" t="n">
        <v>1</v>
      </c>
      <c r="L10" s="0" t="n">
        <f aca="false">(D10/K10)*20</f>
        <v>20</v>
      </c>
      <c r="M10" s="0" t="n">
        <v>0.05</v>
      </c>
      <c r="N10" s="0" t="n">
        <f aca="false">M10/K10</f>
        <v>0.05</v>
      </c>
      <c r="P10" s="0" t="n">
        <v>100</v>
      </c>
    </row>
    <row r="11" customFormat="false" ht="12.8" hidden="false" customHeight="false" outlineLevel="0" collapsed="false">
      <c r="A11" s="1" t="s">
        <v>59</v>
      </c>
      <c r="B11" s="0" t="s">
        <v>6</v>
      </c>
      <c r="C11" s="0" t="s">
        <v>60</v>
      </c>
      <c r="D11" s="0" t="n">
        <v>2</v>
      </c>
      <c r="E11" s="0" t="s">
        <v>6</v>
      </c>
      <c r="K11" s="0" t="n">
        <v>1</v>
      </c>
      <c r="L11" s="0" t="n">
        <f aca="false">(D11/K11)*20</f>
        <v>40</v>
      </c>
      <c r="M11" s="0" t="n">
        <v>0</v>
      </c>
      <c r="N11" s="0" t="n">
        <f aca="false">M11/K11</f>
        <v>0</v>
      </c>
    </row>
    <row r="12" customFormat="false" ht="12.8" hidden="false" customHeight="false" outlineLevel="0" collapsed="false">
      <c r="A12" s="1" t="s">
        <v>61</v>
      </c>
      <c r="B12" s="0" t="s">
        <v>62</v>
      </c>
      <c r="C12" s="0" t="s">
        <v>63</v>
      </c>
      <c r="D12" s="0" t="n">
        <v>1</v>
      </c>
      <c r="E12" s="0" t="s">
        <v>64</v>
      </c>
      <c r="F12" s="0" t="s">
        <v>65</v>
      </c>
      <c r="H12" s="0" t="s">
        <v>66</v>
      </c>
      <c r="K12" s="0" t="n">
        <v>1</v>
      </c>
      <c r="L12" s="0" t="n">
        <f aca="false">(D12/K12)*20</f>
        <v>20</v>
      </c>
      <c r="M12" s="0" t="n">
        <v>0.31</v>
      </c>
      <c r="N12" s="0" t="n">
        <f aca="false">M12/K12</f>
        <v>0.31</v>
      </c>
      <c r="P12" s="0" t="n">
        <v>20</v>
      </c>
    </row>
    <row r="13" customFormat="false" ht="12.8" hidden="false" customHeight="false" outlineLevel="0" collapsed="false">
      <c r="A13" s="1" t="s">
        <v>67</v>
      </c>
      <c r="B13" s="0" t="s">
        <v>68</v>
      </c>
      <c r="C13" s="0" t="s">
        <v>69</v>
      </c>
      <c r="D13" s="0" t="n">
        <v>1</v>
      </c>
      <c r="E13" s="0" t="s">
        <v>70</v>
      </c>
      <c r="F13" s="0" t="s">
        <v>71</v>
      </c>
      <c r="H13" s="0" t="s">
        <v>72</v>
      </c>
      <c r="K13" s="0" t="n">
        <v>1</v>
      </c>
      <c r="L13" s="0" t="n">
        <f aca="false">(D13/K13)*20</f>
        <v>20</v>
      </c>
      <c r="M13" s="0" t="n">
        <v>0.345</v>
      </c>
      <c r="N13" s="0" t="n">
        <f aca="false">M13/K13</f>
        <v>0.345</v>
      </c>
      <c r="P13" s="0" t="n">
        <v>20</v>
      </c>
    </row>
    <row r="14" customFormat="false" ht="12.8" hidden="false" customHeight="false" outlineLevel="0" collapsed="false">
      <c r="A14" s="1" t="s">
        <v>73</v>
      </c>
      <c r="B14" s="0" t="s">
        <v>74</v>
      </c>
      <c r="C14" s="0" t="s">
        <v>75</v>
      </c>
      <c r="D14" s="0" t="n">
        <v>1</v>
      </c>
      <c r="E14" s="0" t="s">
        <v>76</v>
      </c>
      <c r="F14" s="0" t="s">
        <v>77</v>
      </c>
      <c r="H14" s="0" t="s">
        <v>78</v>
      </c>
      <c r="K14" s="0" t="n">
        <v>1</v>
      </c>
      <c r="L14" s="0" t="n">
        <f aca="false">(D14/K14)*20</f>
        <v>20</v>
      </c>
      <c r="M14" s="0" t="n">
        <v>0.115</v>
      </c>
      <c r="N14" s="0" t="n">
        <f aca="false">M14/K14</f>
        <v>0.115</v>
      </c>
      <c r="P14" s="0" t="n">
        <v>100</v>
      </c>
    </row>
    <row r="15" customFormat="false" ht="12.8" hidden="false" customHeight="false" outlineLevel="0" collapsed="false">
      <c r="A15" s="1" t="s">
        <v>79</v>
      </c>
      <c r="B15" s="0" t="s">
        <v>80</v>
      </c>
      <c r="C15" s="0" t="s">
        <v>81</v>
      </c>
      <c r="D15" s="0" t="n">
        <v>1</v>
      </c>
      <c r="E15" s="0" t="n">
        <v>4684</v>
      </c>
      <c r="F15" s="0" t="s">
        <v>82</v>
      </c>
      <c r="H15" s="0" t="s">
        <v>83</v>
      </c>
      <c r="I15" s="0" t="s">
        <v>84</v>
      </c>
      <c r="K15" s="0" t="n">
        <v>10</v>
      </c>
      <c r="L15" s="0" t="n">
        <f aca="false">(D15/K15)*20</f>
        <v>2</v>
      </c>
      <c r="M15" s="0" t="n">
        <v>3.95</v>
      </c>
      <c r="N15" s="0" t="n">
        <f aca="false">M15/K15</f>
        <v>0.395</v>
      </c>
      <c r="O15" s="0" t="n">
        <v>2</v>
      </c>
    </row>
    <row r="16" customFormat="false" ht="12.8" hidden="false" customHeight="false" outlineLevel="0" collapsed="false">
      <c r="A16" s="1" t="s">
        <v>85</v>
      </c>
      <c r="B16" s="0" t="s">
        <v>86</v>
      </c>
      <c r="C16" s="0" t="s">
        <v>87</v>
      </c>
      <c r="D16" s="0" t="n">
        <v>1</v>
      </c>
      <c r="E16" s="0" t="s">
        <v>88</v>
      </c>
      <c r="F16" s="0" t="s">
        <v>89</v>
      </c>
      <c r="H16" s="0" t="s">
        <v>90</v>
      </c>
      <c r="K16" s="0" t="n">
        <v>1</v>
      </c>
      <c r="L16" s="0" t="n">
        <f aca="false">(D16/K16)*20</f>
        <v>20</v>
      </c>
      <c r="M16" s="0" t="n">
        <v>0.119</v>
      </c>
      <c r="N16" s="0" t="n">
        <f aca="false">M16/K16</f>
        <v>0.119</v>
      </c>
      <c r="P16" s="0" t="n">
        <v>20</v>
      </c>
    </row>
    <row r="17" customFormat="false" ht="12.8" hidden="false" customHeight="false" outlineLevel="0" collapsed="false">
      <c r="A17" s="1" t="s">
        <v>91</v>
      </c>
      <c r="B17" s="0" t="s">
        <v>92</v>
      </c>
      <c r="C17" s="0" t="s">
        <v>93</v>
      </c>
      <c r="D17" s="0" t="n">
        <v>8</v>
      </c>
      <c r="E17" s="0" t="s">
        <v>94</v>
      </c>
      <c r="F17" s="0" t="s">
        <v>95</v>
      </c>
      <c r="H17" s="0" t="s">
        <v>96</v>
      </c>
      <c r="K17" s="0" t="n">
        <v>4</v>
      </c>
      <c r="L17" s="0" t="n">
        <f aca="false">(D17/K17)*20</f>
        <v>40</v>
      </c>
      <c r="M17" s="0" t="n">
        <v>1.53</v>
      </c>
      <c r="N17" s="0" t="n">
        <f aca="false">M17/K17</f>
        <v>0.3825</v>
      </c>
      <c r="P17" s="0" t="n">
        <v>50</v>
      </c>
    </row>
    <row r="18" customFormat="false" ht="12.8" hidden="false" customHeight="false" outlineLevel="0" collapsed="false">
      <c r="A18" s="1" t="s">
        <v>97</v>
      </c>
      <c r="B18" s="0" t="s">
        <v>98</v>
      </c>
      <c r="C18" s="0" t="s">
        <v>99</v>
      </c>
      <c r="D18" s="0" t="n">
        <v>1</v>
      </c>
      <c r="E18" s="0" t="s">
        <v>100</v>
      </c>
      <c r="F18" s="0" t="s">
        <v>101</v>
      </c>
      <c r="H18" s="0" t="s">
        <v>102</v>
      </c>
      <c r="I18" s="0" t="s">
        <v>103</v>
      </c>
      <c r="K18" s="0" t="n">
        <v>1</v>
      </c>
      <c r="L18" s="0" t="n">
        <f aca="false">(D18/K18)*20</f>
        <v>20</v>
      </c>
      <c r="M18" s="0" t="n">
        <v>0.389</v>
      </c>
      <c r="N18" s="0" t="n">
        <f aca="false">M18/K18</f>
        <v>0.389</v>
      </c>
      <c r="P18" s="0" t="n">
        <v>20</v>
      </c>
    </row>
    <row r="19" customFormat="false" ht="12.8" hidden="false" customHeight="false" outlineLevel="0" collapsed="false">
      <c r="A19" s="1" t="s">
        <v>104</v>
      </c>
      <c r="B19" s="0" t="s">
        <v>105</v>
      </c>
      <c r="C19" s="0" t="s">
        <v>93</v>
      </c>
      <c r="D19" s="0" t="n">
        <v>1</v>
      </c>
      <c r="E19" s="0" t="s">
        <v>6</v>
      </c>
      <c r="K19" s="0" t="n">
        <v>1</v>
      </c>
      <c r="L19" s="0" t="n">
        <f aca="false">(D19/K19)*20</f>
        <v>20</v>
      </c>
      <c r="M19" s="0" t="n">
        <v>0</v>
      </c>
      <c r="N19" s="0" t="n">
        <f aca="false">M19/K19</f>
        <v>0</v>
      </c>
    </row>
    <row r="20" customFormat="false" ht="12.8" hidden="false" customHeight="false" outlineLevel="0" collapsed="false">
      <c r="A20" s="1" t="s">
        <v>106</v>
      </c>
      <c r="B20" s="0" t="s">
        <v>107</v>
      </c>
      <c r="C20" s="0" t="s">
        <v>108</v>
      </c>
      <c r="D20" s="0" t="n">
        <v>1</v>
      </c>
      <c r="E20" s="0" t="s">
        <v>109</v>
      </c>
      <c r="F20" s="0" t="s">
        <v>101</v>
      </c>
      <c r="H20" s="0" t="s">
        <v>110</v>
      </c>
      <c r="K20" s="0" t="n">
        <v>1</v>
      </c>
      <c r="L20" s="0" t="n">
        <f aca="false">(D20/K20)*20</f>
        <v>20</v>
      </c>
      <c r="M20" s="0" t="n">
        <v>0.422</v>
      </c>
      <c r="N20" s="0" t="n">
        <f aca="false">M20/K20</f>
        <v>0.422</v>
      </c>
      <c r="P20" s="0" t="n">
        <v>20</v>
      </c>
    </row>
    <row r="21" customFormat="false" ht="12.8" hidden="false" customHeight="false" outlineLevel="0" collapsed="false">
      <c r="A21" s="1" t="s">
        <v>111</v>
      </c>
      <c r="B21" s="0" t="s">
        <v>112</v>
      </c>
      <c r="C21" s="0" t="s">
        <v>113</v>
      </c>
      <c r="D21" s="0" t="n">
        <v>1</v>
      </c>
      <c r="E21" s="0" t="s">
        <v>114</v>
      </c>
      <c r="F21" s="0" t="s">
        <v>115</v>
      </c>
      <c r="I21" s="0" t="s">
        <v>116</v>
      </c>
      <c r="K21" s="0" t="n">
        <v>1</v>
      </c>
      <c r="L21" s="0" t="n">
        <f aca="false">(D21/K21)*20</f>
        <v>20</v>
      </c>
      <c r="M21" s="0" t="n">
        <v>1.114</v>
      </c>
      <c r="N21" s="0" t="n">
        <f aca="false">M21/K21</f>
        <v>1.114</v>
      </c>
      <c r="O21" s="0" t="n">
        <v>20</v>
      </c>
    </row>
    <row r="22" customFormat="false" ht="12.8" hidden="false" customHeight="false" outlineLevel="0" collapsed="false">
      <c r="A22" s="1" t="s">
        <v>117</v>
      </c>
      <c r="B22" s="0" t="s">
        <v>118</v>
      </c>
      <c r="C22" s="0" t="s">
        <v>119</v>
      </c>
      <c r="D22" s="0" t="n">
        <v>1</v>
      </c>
      <c r="E22" s="0" t="s">
        <v>6</v>
      </c>
      <c r="K22" s="0" t="n">
        <v>1</v>
      </c>
      <c r="L22" s="0" t="n">
        <f aca="false">(D22/K22)*20</f>
        <v>20</v>
      </c>
      <c r="M22" s="0" t="n">
        <v>0</v>
      </c>
      <c r="N22" s="0" t="n">
        <f aca="false">M22/K22</f>
        <v>0</v>
      </c>
    </row>
    <row r="23" customFormat="false" ht="12.8" hidden="false" customHeight="false" outlineLevel="0" collapsed="false">
      <c r="A23" s="1" t="s">
        <v>120</v>
      </c>
      <c r="B23" s="0" t="s">
        <v>121</v>
      </c>
      <c r="C23" s="0" t="s">
        <v>122</v>
      </c>
      <c r="D23" s="0" t="n">
        <v>2</v>
      </c>
      <c r="E23" s="0" t="s">
        <v>123</v>
      </c>
      <c r="F23" s="0" t="s">
        <v>89</v>
      </c>
      <c r="H23" s="0" t="s">
        <v>124</v>
      </c>
      <c r="K23" s="0" t="n">
        <v>1</v>
      </c>
      <c r="L23" s="0" t="n">
        <f aca="false">(D23/K23)*20</f>
        <v>40</v>
      </c>
      <c r="M23" s="0" t="n">
        <v>0.016</v>
      </c>
      <c r="N23" s="0" t="n">
        <f aca="false">M23/K23</f>
        <v>0.016</v>
      </c>
      <c r="P23" s="0" t="n">
        <v>100</v>
      </c>
    </row>
    <row r="24" customFormat="false" ht="12.8" hidden="false" customHeight="false" outlineLevel="0" collapsed="false">
      <c r="A24" s="1" t="s">
        <v>125</v>
      </c>
      <c r="B24" s="0" t="s">
        <v>126</v>
      </c>
      <c r="C24" s="0" t="s">
        <v>122</v>
      </c>
      <c r="D24" s="0" t="n">
        <v>1</v>
      </c>
      <c r="E24" s="0" t="s">
        <v>127</v>
      </c>
      <c r="F24" s="0" t="s">
        <v>89</v>
      </c>
      <c r="H24" s="0" t="s">
        <v>128</v>
      </c>
      <c r="K24" s="0" t="n">
        <v>1</v>
      </c>
      <c r="L24" s="0" t="n">
        <f aca="false">(D24/K24)*20</f>
        <v>20</v>
      </c>
      <c r="M24" s="0" t="n">
        <v>0.019</v>
      </c>
      <c r="N24" s="0" t="n">
        <f aca="false">M24/K24</f>
        <v>0.019</v>
      </c>
      <c r="P24" s="0" t="n">
        <v>100</v>
      </c>
    </row>
    <row r="25" customFormat="false" ht="12.8" hidden="false" customHeight="false" outlineLevel="0" collapsed="false">
      <c r="A25" s="1" t="s">
        <v>129</v>
      </c>
      <c r="B25" s="0" t="s">
        <v>6</v>
      </c>
      <c r="C25" s="0" t="s">
        <v>122</v>
      </c>
      <c r="D25" s="0" t="n">
        <v>9</v>
      </c>
      <c r="E25" s="0" t="s">
        <v>6</v>
      </c>
      <c r="G25" s="0" t="s">
        <v>6</v>
      </c>
      <c r="K25" s="0" t="n">
        <v>1</v>
      </c>
      <c r="L25" s="0" t="n">
        <f aca="false">(D25/K25)*20</f>
        <v>180</v>
      </c>
      <c r="M25" s="0" t="n">
        <v>0</v>
      </c>
      <c r="N25" s="0" t="n">
        <f aca="false">M25/K25</f>
        <v>0</v>
      </c>
    </row>
    <row r="26" customFormat="false" ht="23.85" hidden="false" customHeight="false" outlineLevel="0" collapsed="false">
      <c r="A26" s="1" t="s">
        <v>130</v>
      </c>
      <c r="B26" s="0" t="s">
        <v>131</v>
      </c>
      <c r="C26" s="0" t="s">
        <v>122</v>
      </c>
      <c r="D26" s="0" t="n">
        <v>9</v>
      </c>
      <c r="E26" s="0" t="s">
        <v>132</v>
      </c>
      <c r="F26" s="0" t="s">
        <v>89</v>
      </c>
      <c r="H26" s="0" t="s">
        <v>133</v>
      </c>
      <c r="K26" s="0" t="n">
        <v>1</v>
      </c>
      <c r="L26" s="0" t="n">
        <f aca="false">(D26/K26)*20</f>
        <v>180</v>
      </c>
      <c r="M26" s="0" t="n">
        <v>0.0073</v>
      </c>
      <c r="N26" s="0" t="n">
        <f aca="false">M26/K26</f>
        <v>0.0073</v>
      </c>
      <c r="P26" s="0" t="n">
        <v>500</v>
      </c>
    </row>
    <row r="27" customFormat="false" ht="12.8" hidden="false" customHeight="false" outlineLevel="0" collapsed="false">
      <c r="A27" s="1" t="s">
        <v>134</v>
      </c>
      <c r="B27" s="0" t="n">
        <v>470</v>
      </c>
      <c r="C27" s="0" t="s">
        <v>122</v>
      </c>
      <c r="D27" s="0" t="n">
        <v>1</v>
      </c>
      <c r="E27" s="0" t="s">
        <v>135</v>
      </c>
      <c r="F27" s="0" t="s">
        <v>89</v>
      </c>
      <c r="H27" s="0" t="s">
        <v>136</v>
      </c>
      <c r="K27" s="0" t="n">
        <v>1</v>
      </c>
      <c r="L27" s="0" t="n">
        <f aca="false">(D27/K27)*20</f>
        <v>20</v>
      </c>
      <c r="M27" s="0" t="n">
        <v>0.016</v>
      </c>
      <c r="N27" s="0" t="n">
        <f aca="false">M27/K27</f>
        <v>0.016</v>
      </c>
      <c r="P27" s="0" t="n">
        <v>100</v>
      </c>
    </row>
    <row r="28" customFormat="false" ht="23.85" hidden="false" customHeight="false" outlineLevel="0" collapsed="false">
      <c r="A28" s="1" t="s">
        <v>137</v>
      </c>
      <c r="B28" s="0" t="n">
        <v>100</v>
      </c>
      <c r="C28" s="0" t="s">
        <v>122</v>
      </c>
      <c r="D28" s="0" t="n">
        <v>10</v>
      </c>
      <c r="E28" s="0" t="s">
        <v>138</v>
      </c>
      <c r="F28" s="0" t="s">
        <v>89</v>
      </c>
      <c r="H28" s="0" t="s">
        <v>139</v>
      </c>
      <c r="K28" s="0" t="n">
        <v>1</v>
      </c>
      <c r="L28" s="0" t="n">
        <f aca="false">(D28/K28)*20</f>
        <v>200</v>
      </c>
      <c r="M28" s="0" t="n">
        <v>0.0058</v>
      </c>
      <c r="N28" s="0" t="n">
        <f aca="false">M28/K28</f>
        <v>0.0058</v>
      </c>
      <c r="P28" s="0" t="n">
        <v>500</v>
      </c>
    </row>
    <row r="29" customFormat="false" ht="23.85" hidden="false" customHeight="false" outlineLevel="0" collapsed="false">
      <c r="A29" s="1" t="s">
        <v>140</v>
      </c>
      <c r="B29" s="0" t="s">
        <v>141</v>
      </c>
      <c r="C29" s="0" t="s">
        <v>122</v>
      </c>
      <c r="D29" s="0" t="n">
        <v>8</v>
      </c>
      <c r="E29" s="0" t="s">
        <v>142</v>
      </c>
      <c r="F29" s="0" t="s">
        <v>89</v>
      </c>
      <c r="H29" s="0" t="s">
        <v>143</v>
      </c>
      <c r="K29" s="0" t="n">
        <v>1</v>
      </c>
      <c r="L29" s="0" t="n">
        <f aca="false">(D29/K29)*20</f>
        <v>160</v>
      </c>
      <c r="M29" s="0" t="n">
        <v>0.0196</v>
      </c>
      <c r="N29" s="0" t="n">
        <f aca="false">M29/K29</f>
        <v>0.0196</v>
      </c>
      <c r="P29" s="0" t="n">
        <v>500</v>
      </c>
    </row>
    <row r="30" customFormat="false" ht="23.85" hidden="false" customHeight="false" outlineLevel="0" collapsed="false">
      <c r="A30" s="1" t="s">
        <v>144</v>
      </c>
      <c r="B30" s="0" t="s">
        <v>145</v>
      </c>
      <c r="C30" s="0" t="s">
        <v>122</v>
      </c>
      <c r="D30" s="0" t="n">
        <v>8</v>
      </c>
      <c r="E30" s="0" t="s">
        <v>146</v>
      </c>
      <c r="F30" s="0" t="s">
        <v>89</v>
      </c>
      <c r="H30" s="0" t="s">
        <v>147</v>
      </c>
      <c r="K30" s="0" t="n">
        <v>1</v>
      </c>
      <c r="L30" s="0" t="n">
        <f aca="false">(D30/K30)*20</f>
        <v>160</v>
      </c>
      <c r="M30" s="0" t="n">
        <v>0.0073</v>
      </c>
      <c r="N30" s="0" t="n">
        <f aca="false">M30/K30</f>
        <v>0.0073</v>
      </c>
      <c r="P30" s="0" t="n">
        <v>500</v>
      </c>
    </row>
    <row r="31" customFormat="false" ht="12.8" hidden="false" customHeight="false" outlineLevel="0" collapsed="false">
      <c r="A31" s="1" t="s">
        <v>148</v>
      </c>
      <c r="B31" s="0" t="s">
        <v>149</v>
      </c>
      <c r="C31" s="0" t="s">
        <v>150</v>
      </c>
      <c r="D31" s="0" t="n">
        <v>2</v>
      </c>
      <c r="E31" s="0" t="s">
        <v>151</v>
      </c>
      <c r="F31" s="0" t="s">
        <v>152</v>
      </c>
      <c r="H31" s="0" t="s">
        <v>153</v>
      </c>
      <c r="K31" s="0" t="n">
        <v>1</v>
      </c>
      <c r="L31" s="0" t="n">
        <f aca="false">(D31/K31)*20</f>
        <v>40</v>
      </c>
      <c r="M31" s="0" t="n">
        <v>0.269</v>
      </c>
      <c r="N31" s="0" t="n">
        <f aca="false">M31/K31</f>
        <v>0.269</v>
      </c>
      <c r="P31" s="0" t="n">
        <v>25</v>
      </c>
    </row>
    <row r="32" customFormat="false" ht="35.05" hidden="false" customHeight="false" outlineLevel="0" collapsed="false">
      <c r="A32" s="1" t="s">
        <v>154</v>
      </c>
      <c r="B32" s="0" t="s">
        <v>155</v>
      </c>
      <c r="C32" s="0" t="s">
        <v>156</v>
      </c>
      <c r="D32" s="0" t="n">
        <v>18</v>
      </c>
      <c r="E32" s="0" t="s">
        <v>6</v>
      </c>
      <c r="K32" s="0" t="n">
        <v>1</v>
      </c>
      <c r="L32" s="0" t="n">
        <f aca="false">(D32/K32)*20</f>
        <v>360</v>
      </c>
      <c r="M32" s="0" t="n">
        <v>0</v>
      </c>
      <c r="N32" s="0" t="n">
        <f aca="false">M32/K32</f>
        <v>0</v>
      </c>
    </row>
    <row r="33" customFormat="false" ht="12.8" hidden="false" customHeight="false" outlineLevel="0" collapsed="false">
      <c r="A33" s="1" t="s">
        <v>157</v>
      </c>
      <c r="B33" s="0" t="s">
        <v>158</v>
      </c>
      <c r="C33" s="0" t="s">
        <v>159</v>
      </c>
      <c r="D33" s="0" t="n">
        <v>1</v>
      </c>
      <c r="E33" s="0" t="s">
        <v>158</v>
      </c>
      <c r="F33" s="0" t="s">
        <v>160</v>
      </c>
      <c r="H33" s="0" t="s">
        <v>161</v>
      </c>
      <c r="K33" s="0" t="n">
        <v>1</v>
      </c>
      <c r="L33" s="0" t="n">
        <f aca="false">(D33/K33)*20</f>
        <v>20</v>
      </c>
      <c r="M33" s="0" t="n">
        <v>3.534</v>
      </c>
      <c r="N33" s="0" t="n">
        <f aca="false">M33/K33</f>
        <v>3.534</v>
      </c>
      <c r="P33" s="0" t="n">
        <v>10</v>
      </c>
    </row>
    <row r="34" customFormat="false" ht="12.8" hidden="false" customHeight="false" outlineLevel="0" collapsed="false">
      <c r="A34" s="1" t="s">
        <v>162</v>
      </c>
      <c r="B34" s="0" t="s">
        <v>163</v>
      </c>
      <c r="C34" s="0" t="s">
        <v>164</v>
      </c>
      <c r="D34" s="0" t="n">
        <v>1</v>
      </c>
      <c r="E34" s="0" t="s">
        <v>165</v>
      </c>
      <c r="F34" s="0" t="s">
        <v>166</v>
      </c>
      <c r="H34" s="0" t="s">
        <v>167</v>
      </c>
      <c r="K34" s="0" t="n">
        <v>1</v>
      </c>
      <c r="L34" s="0" t="n">
        <f aca="false">(D34/K34)*20</f>
        <v>20</v>
      </c>
      <c r="M34" s="0" t="n">
        <v>1.52</v>
      </c>
      <c r="N34" s="0" t="n">
        <f aca="false">M34/K34</f>
        <v>1.52</v>
      </c>
      <c r="P34" s="0" t="n">
        <v>20</v>
      </c>
    </row>
    <row r="35" customFormat="false" ht="12.8" hidden="false" customHeight="false" outlineLevel="0" collapsed="false">
      <c r="A35" s="1" t="s">
        <v>168</v>
      </c>
      <c r="B35" s="0" t="s">
        <v>169</v>
      </c>
      <c r="C35" s="0" t="s">
        <v>170</v>
      </c>
      <c r="D35" s="0" t="n">
        <v>1</v>
      </c>
      <c r="E35" s="0" t="s">
        <v>171</v>
      </c>
      <c r="F35" s="0" t="s">
        <v>172</v>
      </c>
      <c r="J35" s="0" t="s">
        <v>173</v>
      </c>
      <c r="K35" s="0" t="n">
        <v>1</v>
      </c>
      <c r="L35" s="0" t="n">
        <f aca="false">(D35/K35)*20</f>
        <v>20</v>
      </c>
      <c r="M35" s="0" t="n">
        <v>2.48</v>
      </c>
      <c r="N35" s="0" t="n">
        <f aca="false">M35/K35</f>
        <v>2.48</v>
      </c>
      <c r="O35" s="0" t="n">
        <v>10</v>
      </c>
    </row>
    <row r="36" customFormat="false" ht="12.8" hidden="false" customHeight="false" outlineLevel="0" collapsed="false">
      <c r="A36" s="1" t="s">
        <v>174</v>
      </c>
      <c r="B36" s="0" t="s">
        <v>175</v>
      </c>
      <c r="C36" s="0" t="s">
        <v>176</v>
      </c>
      <c r="D36" s="0" t="n">
        <v>1</v>
      </c>
      <c r="E36" s="0" t="s">
        <v>177</v>
      </c>
      <c r="F36" s="0" t="s">
        <v>178</v>
      </c>
      <c r="J36" s="0" t="s">
        <v>179</v>
      </c>
      <c r="K36" s="0" t="n">
        <v>1</v>
      </c>
      <c r="L36" s="0" t="n">
        <f aca="false">(D36/K36)*20</f>
        <v>20</v>
      </c>
      <c r="M36" s="0" t="n">
        <v>1.67</v>
      </c>
      <c r="N36" s="0" t="n">
        <f aca="false">M36/K36</f>
        <v>1.67</v>
      </c>
      <c r="O36" s="0" t="n">
        <v>20</v>
      </c>
    </row>
    <row r="37" customFormat="false" ht="12.8" hidden="false" customHeight="false" outlineLevel="0" collapsed="false">
      <c r="A37" s="1" t="s">
        <v>180</v>
      </c>
      <c r="B37" s="0" t="s">
        <v>181</v>
      </c>
      <c r="C37" s="0" t="s">
        <v>182</v>
      </c>
      <c r="D37" s="0" t="n">
        <v>1</v>
      </c>
      <c r="E37" s="0" t="s">
        <v>183</v>
      </c>
      <c r="F37" s="0" t="s">
        <v>184</v>
      </c>
      <c r="H37" s="0" t="s">
        <v>185</v>
      </c>
      <c r="I37" s="0" t="s">
        <v>186</v>
      </c>
      <c r="J37" s="0" t="s">
        <v>187</v>
      </c>
      <c r="K37" s="0" t="n">
        <v>1</v>
      </c>
      <c r="L37" s="0" t="n">
        <f aca="false">(D37/K37)*20</f>
        <v>20</v>
      </c>
      <c r="M37" s="0" t="n">
        <v>5.28</v>
      </c>
      <c r="N37" s="0" t="n">
        <f aca="false">M37/K37</f>
        <v>5.28</v>
      </c>
      <c r="O37" s="0" t="n">
        <v>10</v>
      </c>
    </row>
    <row r="38" customFormat="false" ht="12.8" hidden="false" customHeight="false" outlineLevel="0" collapsed="false">
      <c r="A38" s="1" t="s">
        <v>188</v>
      </c>
      <c r="B38" s="0" t="s">
        <v>189</v>
      </c>
      <c r="C38" s="0" t="s">
        <v>190</v>
      </c>
      <c r="D38" s="0" t="n">
        <v>1</v>
      </c>
      <c r="E38" s="0" t="s">
        <v>189</v>
      </c>
      <c r="F38" s="0" t="s">
        <v>191</v>
      </c>
      <c r="H38" s="0" t="s">
        <v>192</v>
      </c>
      <c r="J38" s="0" t="s">
        <v>193</v>
      </c>
      <c r="K38" s="0" t="n">
        <v>1</v>
      </c>
      <c r="L38" s="0" t="n">
        <f aca="false">(D38/K38)*20</f>
        <v>20</v>
      </c>
      <c r="M38" s="0" t="n">
        <v>0.247</v>
      </c>
      <c r="N38" s="0" t="n">
        <f aca="false">M38/K38</f>
        <v>0.247</v>
      </c>
      <c r="O38" s="0" t="n">
        <v>100</v>
      </c>
    </row>
    <row r="39" customFormat="false" ht="12.8" hidden="false" customHeight="false" outlineLevel="0" collapsed="false">
      <c r="A39" s="1" t="s">
        <v>194</v>
      </c>
      <c r="B39" s="0" t="s">
        <v>195</v>
      </c>
      <c r="C39" s="0" t="s">
        <v>196</v>
      </c>
      <c r="D39" s="0" t="n">
        <v>1</v>
      </c>
      <c r="E39" s="0" t="s">
        <v>197</v>
      </c>
      <c r="F39" s="0" t="s">
        <v>41</v>
      </c>
      <c r="I39" s="0" t="s">
        <v>198</v>
      </c>
      <c r="J39" s="0" t="s">
        <v>199</v>
      </c>
      <c r="K39" s="0" t="n">
        <v>1</v>
      </c>
      <c r="L39" s="0" t="n">
        <f aca="false">(D39/K39)*20</f>
        <v>20</v>
      </c>
      <c r="M39" s="0" t="n">
        <v>0.078</v>
      </c>
      <c r="N39" s="0" t="n">
        <f aca="false">M39/K39</f>
        <v>0.078</v>
      </c>
      <c r="O39" s="0" t="n">
        <v>100</v>
      </c>
    </row>
    <row r="40" customFormat="false" ht="12.8" hidden="false" customHeight="false" outlineLevel="0" collapsed="false">
      <c r="A40" s="1" t="s">
        <v>200</v>
      </c>
      <c r="F40" s="0" t="s">
        <v>201</v>
      </c>
      <c r="K40" s="0" t="n">
        <v>1</v>
      </c>
      <c r="L40" s="0" t="n">
        <v>20</v>
      </c>
      <c r="M40" s="0" t="n">
        <v>4.8</v>
      </c>
      <c r="N40" s="0" t="n">
        <f aca="false">M40/K40</f>
        <v>4.8</v>
      </c>
    </row>
    <row r="43" customFormat="false" ht="12.8" hidden="false" customHeight="false" outlineLevel="0" collapsed="false">
      <c r="N43" s="0" t="n">
        <f aca="false">SUM(N2:N40)</f>
        <v>24.3117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2024-06-15T21:35:21Z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